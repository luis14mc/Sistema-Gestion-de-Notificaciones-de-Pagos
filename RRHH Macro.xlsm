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opor\Downloads\"/>
    </mc:Choice>
  </mc:AlternateContent>
  <xr:revisionPtr revIDLastSave="0" documentId="13_ncr:1_{F805FBC7-89BC-4B5A-AB90-1C3397FAA5D4}" xr6:coauthVersionLast="47" xr6:coauthVersionMax="47" xr10:uidLastSave="{00000000-0000-0000-0000-000000000000}"/>
  <bookViews>
    <workbookView xWindow="-108" yWindow="-108" windowWidth="23256" windowHeight="12456" activeTab="1" xr2:uid="{F5806608-C1B9-440C-B965-62BEF56321B5}"/>
  </bookViews>
  <sheets>
    <sheet name="Boleta" sheetId="1" r:id="rId1"/>
    <sheet name="DB Empleados" sheetId="2" r:id="rId2"/>
    <sheet name="NM" sheetId="3" r:id="rId3"/>
  </sheets>
  <definedNames>
    <definedName name="_xlnm._FilterDatabase" localSheetId="1" hidden="1">'DB Empleados'!$A$2:$G$2</definedName>
    <definedName name="_xleta.DATE" hidden="1" xlm="1">#NAME?</definedName>
    <definedName name="_xlnm.Print_Area" localSheetId="0">Boleta!$A$1:$H$16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3" l="1"/>
  <c r="G11" i="1" s="1"/>
  <c r="F3" i="3"/>
  <c r="G10" i="1" s="1"/>
  <c r="E3" i="3"/>
  <c r="G9" i="1" s="1"/>
  <c r="D3" i="3"/>
  <c r="C9" i="1" s="1"/>
  <c r="C3" i="3"/>
  <c r="C7" i="1" s="1"/>
  <c r="B3" i="3"/>
  <c r="C6" i="1" s="1"/>
  <c r="A3" i="3"/>
  <c r="C4" i="1"/>
  <c r="F4" i="1"/>
  <c r="G13" i="1" l="1"/>
  <c r="G14" i="1" s="1"/>
</calcChain>
</file>

<file path=xl/sharedStrings.xml><?xml version="1.0" encoding="utf-8"?>
<sst xmlns="http://schemas.openxmlformats.org/spreadsheetml/2006/main" count="79" uniqueCount="60">
  <si>
    <t>Cargo</t>
  </si>
  <si>
    <t>Salario Mensual</t>
  </si>
  <si>
    <t>IVM1 (IHSS)</t>
  </si>
  <si>
    <t>EM (IHSS)</t>
  </si>
  <si>
    <t>ISR</t>
  </si>
  <si>
    <t>CONSEJO NACIONAL DE INVERSIONES</t>
  </si>
  <si>
    <t>BOLETA DE PAGO</t>
  </si>
  <si>
    <t>CARGO</t>
  </si>
  <si>
    <t>SALARIO MENSUAL</t>
  </si>
  <si>
    <t>NOMBRE</t>
  </si>
  <si>
    <t>INGRESOS</t>
  </si>
  <si>
    <t>DEDUCCIONES</t>
  </si>
  <si>
    <t>SALARIO NETO</t>
  </si>
  <si>
    <t>TOTAL DEDUCCIONES</t>
  </si>
  <si>
    <t>Nombre Empleado</t>
  </si>
  <si>
    <t>Luis andres Martínez</t>
  </si>
  <si>
    <t>Innovación y tecnologia</t>
  </si>
  <si>
    <t>Karen Cecilia Alvarenga</t>
  </si>
  <si>
    <t>Marketing Digital</t>
  </si>
  <si>
    <t>Daniel Eduardo Aguilera</t>
  </si>
  <si>
    <t>Gonzalo Gabriel Granados</t>
  </si>
  <si>
    <t>Promoción</t>
  </si>
  <si>
    <t>Gabriela Paola Aguilar</t>
  </si>
  <si>
    <t>José Ricardo Fuentes</t>
  </si>
  <si>
    <t>Legal</t>
  </si>
  <si>
    <t>Luding Noel Guzman</t>
  </si>
  <si>
    <t>Juan David Serrano</t>
  </si>
  <si>
    <t>Omar Pantoja</t>
  </si>
  <si>
    <t>Alejandro Jesset Ávila</t>
  </si>
  <si>
    <t>Aida Celeste Sandoval</t>
  </si>
  <si>
    <t xml:space="preserve">Mario Alexander </t>
  </si>
  <si>
    <t xml:space="preserve"> </t>
  </si>
  <si>
    <t>Cod. EMPLEADO</t>
  </si>
  <si>
    <t>CNI001</t>
  </si>
  <si>
    <t>CNI002</t>
  </si>
  <si>
    <t>CNI003</t>
  </si>
  <si>
    <t>CNI004</t>
  </si>
  <si>
    <t>CNI005</t>
  </si>
  <si>
    <t>CNI006</t>
  </si>
  <si>
    <t>CNI007</t>
  </si>
  <si>
    <t>CNI008</t>
  </si>
  <si>
    <t>CNI009</t>
  </si>
  <si>
    <t>CNI010</t>
  </si>
  <si>
    <t>CNI011</t>
  </si>
  <si>
    <t>CNI012</t>
  </si>
  <si>
    <t xml:space="preserve">                        AL </t>
  </si>
  <si>
    <t>Cod. EMPLEADO2</t>
  </si>
  <si>
    <t>NO MODIFICAR DATOS EN ESTA HOJA</t>
  </si>
  <si>
    <t>Correo?insitucional</t>
  </si>
  <si>
    <t>aavila@cni.hn</t>
  </si>
  <si>
    <t>asandoval@cni.hn</t>
  </si>
  <si>
    <t>daguilera@cni.hn</t>
  </si>
  <si>
    <t>gaguilar@cni.hn</t>
  </si>
  <si>
    <t>ggranados@cni.hn</t>
  </si>
  <si>
    <t>jfuentes@cni.hn</t>
  </si>
  <si>
    <t>jdserrano@cni.hn</t>
  </si>
  <si>
    <t>prensa@cni.hn</t>
  </si>
  <si>
    <t>lguzman@cni.hn</t>
  </si>
  <si>
    <t>amartinez@cni.hn</t>
  </si>
  <si>
    <t>opantoja@cni.hn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</si>
</sst>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L&quot;#,##0.00;[Red]\-&quot;L&quot;#,##0.00"/>
  </numFmts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rgb="FFFFFFFF"/>
      <name val="Calibri"/>
      <family val="2"/>
    </font>
    <font>
      <b/>
      <sz val="11"/>
      <color rgb="FFFFFFFF"/>
      <name val="Calibri"/>
      <family val="2"/>
    </font>
    <font>
      <sz val="11"/>
      <color rgb="FF000000"/>
      <name val="Calibri"/>
      <family val="2"/>
    </font>
    <font>
      <sz val="8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2"/>
      <color rgb="FFFFFFFF"/>
      <name val="Calibri"/>
      <family val="2"/>
    </font>
    <font>
      <b/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32B372"/>
        <bgColor rgb="FF32B372"/>
      </patternFill>
    </fill>
    <fill>
      <patternFill patternType="solid">
        <fgColor rgb="FF334E88"/>
        <bgColor rgb="FF334E88"/>
      </patternFill>
    </fill>
    <fill>
      <patternFill patternType="solid">
        <fgColor rgb="FFC0000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4" xfId="0" applyBorder="1"/>
    <xf numFmtId="0" fontId="0" fillId="0" borderId="5" xfId="0" applyBorder="1"/>
    <xf numFmtId="0" fontId="1" fillId="0" borderId="0" xfId="0" applyFon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3" fillId="3" borderId="0" xfId="0" applyFont="1" applyFill="1" applyAlignment="1">
      <alignment horizontal="center" vertical="center"/>
    </xf>
    <xf numFmtId="0" fontId="4" fillId="0" borderId="0" xfId="0" applyFont="1"/>
    <xf numFmtId="14" fontId="0" fillId="0" borderId="0" xfId="0" applyNumberFormat="1"/>
    <xf numFmtId="0" fontId="0" fillId="0" borderId="0" xfId="0" applyAlignment="1">
      <alignment horizontal="left"/>
    </xf>
    <xf numFmtId="0" fontId="3" fillId="3" borderId="0" xfId="0" applyFont="1" applyFill="1" applyAlignment="1">
      <alignment horizontal="left" vertical="center"/>
    </xf>
    <xf numFmtId="0" fontId="4" fillId="0" borderId="0" xfId="0" applyFont="1" applyAlignment="1">
      <alignment horizontal="left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164" fontId="0" fillId="0" borderId="14" xfId="0" applyNumberFormat="1" applyBorder="1"/>
    <xf numFmtId="0" fontId="6" fillId="0" borderId="0" xfId="0" applyFont="1" applyAlignment="1">
      <alignment horizontal="right"/>
    </xf>
    <xf numFmtId="164" fontId="0" fillId="0" borderId="16" xfId="0" applyNumberFormat="1" applyBorder="1"/>
    <xf numFmtId="0" fontId="0" fillId="0" borderId="16" xfId="0" applyBorder="1"/>
    <xf numFmtId="14" fontId="1" fillId="0" borderId="0" xfId="0" applyNumberFormat="1" applyFont="1" applyAlignment="1">
      <alignment horizontal="left"/>
    </xf>
    <xf numFmtId="0" fontId="0" fillId="0" borderId="14" xfId="0" applyBorder="1" applyAlignment="1">
      <alignment horizontal="right"/>
    </xf>
    <xf numFmtId="0" fontId="0" fillId="0" borderId="17" xfId="0" applyBorder="1"/>
    <xf numFmtId="0" fontId="2" fillId="0" borderId="0" xfId="0" applyFont="1" applyAlignment="1">
      <alignment vertical="center"/>
    </xf>
    <xf numFmtId="0" fontId="1" fillId="0" borderId="0" xfId="0" applyFont="1" applyAlignment="1">
      <alignment horizontal="right"/>
    </xf>
    <xf numFmtId="0" fontId="0" fillId="0" borderId="18" xfId="0" applyBorder="1" applyAlignment="1">
      <alignment horizontal="right"/>
    </xf>
    <xf numFmtId="164" fontId="0" fillId="0" borderId="19" xfId="0" applyNumberFormat="1" applyBorder="1"/>
    <xf numFmtId="0" fontId="7" fillId="2" borderId="14" xfId="0" applyFont="1" applyFill="1" applyBorder="1" applyAlignment="1">
      <alignment vertical="center"/>
    </xf>
    <xf numFmtId="164" fontId="7" fillId="2" borderId="16" xfId="0" applyNumberFormat="1" applyFont="1" applyFill="1" applyBorder="1" applyAlignment="1">
      <alignment vertical="center"/>
    </xf>
    <xf numFmtId="164" fontId="0" fillId="0" borderId="0" xfId="0" applyNumberFormat="1"/>
    <xf numFmtId="164" fontId="4" fillId="0" borderId="0" xfId="0" applyNumberFormat="1" applyFont="1" applyAlignment="1">
      <alignment horizontal="left"/>
    </xf>
    <xf numFmtId="164" fontId="4" fillId="0" borderId="0" xfId="0" applyNumberFormat="1" applyFont="1"/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/>
    </xf>
    <xf numFmtId="164" fontId="9" fillId="0" borderId="0" xfId="1" applyNumberFormat="1"/>
  </cellXfs>
  <cellStyles count="2">
    <cellStyle name="Hipervínculo" xfId="1" builtinId="8"/>
    <cellStyle name="Normal" xfId="0" builtinId="0"/>
  </cellStyles>
  <dxfs count="2">
    <dxf>
      <numFmt numFmtId="0" formatCode="General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rgb="FF334E88"/>
          <bgColor rgb="FF334E88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142875</xdr:colOff>
      <xdr:row>2</xdr:row>
      <xdr:rowOff>45720</xdr:rowOff>
    </xdr:from>
    <xdr:to>
      <xdr:col>10</xdr:col>
      <xdr:colOff>643890</xdr:colOff>
      <xdr:row>3</xdr:row>
      <xdr:rowOff>160020</xdr:rowOff>
    </xdr:to>
    <xdr:sp macro="[0]!PDF" textlink="">
      <xdr:nvSpPr>
        <xdr:cNvPr id="3" name="Rectángulo: biselado 2">
          <a:extLst>
            <a:ext uri="{FF2B5EF4-FFF2-40B4-BE49-F238E27FC236}">
              <a16:creationId xmlns:a16="http://schemas.microsoft.com/office/drawing/2014/main" id="{56DBA0A3-29D2-8E68-6EBD-B1B01FC3AF53}"/>
            </a:ext>
          </a:extLst>
        </xdr:cNvPr>
        <xdr:cNvSpPr/>
      </xdr:nvSpPr>
      <xdr:spPr>
        <a:xfrm>
          <a:off x="11087100" y="474345"/>
          <a:ext cx="1291590" cy="352425"/>
        </a:xfrm>
        <a:prstGeom prst="bevel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Crear PDF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485AF2-0A9A-4C23-AAF7-ACF86EF2D20F}" name="Datos" displayName="Datos" ref="A2:H40" totalsRowShown="0" headerRowDxfId="1">
  <autoFilter ref="A2:H40" xr:uid="{D6485AF2-0A9A-4C23-AAF7-ACF86EF2D20F}"/>
  <sortState xmlns:xlrd2="http://schemas.microsoft.com/office/spreadsheetml/2017/richdata2" ref="A3:G25">
    <sortCondition ref="B2:B40"/>
  </sortState>
  <tableColumns count="8">
    <tableColumn id="2" xr3:uid="{1F99ADD7-8E9C-44C6-AFFE-5625FB2A1B32}" name="Nombre Empleado"/>
    <tableColumn id="8" xr3:uid="{223F088F-36C5-4FEB-9B1F-B7CAFF401D0B}" name="Cod. EMPLEADO2"/>
    <tableColumn id="3" xr3:uid="{CBFC8B15-0D0A-49D3-9139-4693A8982EA7}" name="Cargo"/>
    <tableColumn id="4" xr3:uid="{81BCFBAF-5ED4-4AB5-980C-C6242EEB3842}" name="Salario Mensual" dataDxfId="0"/>
    <tableColumn id="5" xr3:uid="{D1CB0D45-E6DE-4630-89DE-3DF9D9AADE3B}" name="IVM1 (IHSS)"/>
    <tableColumn id="6" xr3:uid="{6C4E468E-AEF4-4726-823D-BFDA9825F58B}" name="EM (IHSS)"/>
    <tableColumn id="7" xr3:uid="{F88157DD-D980-4965-96AF-69F810150184}" name="ISR"/>
    <tableColumn id="1" xr3:uid="{4337A36E-244D-426C-AC6B-B56A6A857E56}" name="Correo?insitucion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prensa@cni.hn" TargetMode="External"/><Relationship Id="rId3" Type="http://schemas.openxmlformats.org/officeDocument/2006/relationships/hyperlink" Target="mailto:daguilera@cni.hn" TargetMode="External"/><Relationship Id="rId7" Type="http://schemas.openxmlformats.org/officeDocument/2006/relationships/hyperlink" Target="mailto:jdserrano@cni.hn" TargetMode="External"/><Relationship Id="rId12" Type="http://schemas.openxmlformats.org/officeDocument/2006/relationships/table" Target="../tables/table1.xml"/><Relationship Id="rId2" Type="http://schemas.openxmlformats.org/officeDocument/2006/relationships/hyperlink" Target="mailto:asandoval@cni.hn" TargetMode="External"/><Relationship Id="rId1" Type="http://schemas.openxmlformats.org/officeDocument/2006/relationships/hyperlink" Target="mailto:aavila@cni.hn" TargetMode="External"/><Relationship Id="rId6" Type="http://schemas.openxmlformats.org/officeDocument/2006/relationships/hyperlink" Target="mailto:jfuentes@cni.hn" TargetMode="External"/><Relationship Id="rId11" Type="http://schemas.openxmlformats.org/officeDocument/2006/relationships/hyperlink" Target="mailto:opantoja@cni.hn" TargetMode="External"/><Relationship Id="rId5" Type="http://schemas.openxmlformats.org/officeDocument/2006/relationships/hyperlink" Target="mailto:ggranados@cni.hn" TargetMode="External"/><Relationship Id="rId10" Type="http://schemas.openxmlformats.org/officeDocument/2006/relationships/hyperlink" Target="mailto:amartinez@cni.hn" TargetMode="External"/><Relationship Id="rId4" Type="http://schemas.openxmlformats.org/officeDocument/2006/relationships/hyperlink" Target="mailto:gaguilar@cni.hn" TargetMode="External"/><Relationship Id="rId9" Type="http://schemas.openxmlformats.org/officeDocument/2006/relationships/hyperlink" Target="mailto:lguzman@cni.h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D4FA4-4CA2-42A1-A3B4-8D163D6F4902}">
  <sheetPr codeName="Hoja1"/>
  <dimension ref="B1:K25"/>
  <sheetViews>
    <sheetView zoomScale="130" zoomScaleNormal="130" workbookViewId="0">
      <selection activeCell="E6" sqref="E6"/>
    </sheetView>
  </sheetViews>
  <sheetFormatPr baseColWidth="10" defaultRowHeight="14.4" x14ac:dyDescent="0.3"/>
  <cols>
    <col min="2" max="2" width="16.6640625" bestFit="1" customWidth="1"/>
    <col min="3" max="3" width="23.21875" customWidth="1"/>
    <col min="4" max="4" width="10.21875" bestFit="1" customWidth="1"/>
    <col min="5" max="5" width="39.109375" customWidth="1"/>
    <col min="6" max="6" width="20.21875" bestFit="1" customWidth="1"/>
    <col min="7" max="7" width="15.44140625" customWidth="1"/>
  </cols>
  <sheetData>
    <row r="1" spans="2:11" ht="15" thickBot="1" x14ac:dyDescent="0.35"/>
    <row r="2" spans="2:11" ht="18.600000000000001" customHeight="1" x14ac:dyDescent="0.3">
      <c r="B2" s="33" t="s">
        <v>5</v>
      </c>
      <c r="C2" s="34"/>
      <c r="D2" s="34"/>
      <c r="E2" s="34"/>
      <c r="F2" s="34"/>
      <c r="G2" s="35"/>
    </row>
    <row r="3" spans="2:11" ht="18.600000000000001" customHeight="1" thickBot="1" x14ac:dyDescent="0.35">
      <c r="B3" s="36"/>
      <c r="C3" s="37"/>
      <c r="D3" s="37"/>
      <c r="E3" s="37"/>
      <c r="F3" s="37"/>
      <c r="G3" s="38"/>
      <c r="K3" s="9"/>
    </row>
    <row r="4" spans="2:11" ht="15" thickBot="1" x14ac:dyDescent="0.35">
      <c r="B4" s="1"/>
      <c r="C4" s="42">
        <f ca="1">TODAY()-30</f>
        <v>46034</v>
      </c>
      <c r="D4" s="43"/>
      <c r="E4" s="10" t="s">
        <v>45</v>
      </c>
      <c r="F4" s="21">
        <f ca="1">TODAY()</f>
        <v>46064</v>
      </c>
      <c r="G4" s="2"/>
    </row>
    <row r="5" spans="2:11" ht="15" thickBot="1" x14ac:dyDescent="0.35">
      <c r="B5" s="39" t="s">
        <v>6</v>
      </c>
      <c r="C5" s="40"/>
      <c r="D5" s="40"/>
      <c r="E5" s="40"/>
      <c r="F5" s="40"/>
      <c r="G5" s="41"/>
    </row>
    <row r="6" spans="2:11" x14ac:dyDescent="0.3">
      <c r="B6" s="23" t="s">
        <v>32</v>
      </c>
      <c r="C6" s="16" t="str">
        <f>NM!B3</f>
        <v>CNI003</v>
      </c>
      <c r="D6" s="15" t="s">
        <v>9</v>
      </c>
      <c r="E6" s="16" t="s">
        <v>19</v>
      </c>
      <c r="G6" s="2"/>
    </row>
    <row r="7" spans="2:11" x14ac:dyDescent="0.3">
      <c r="B7" s="23" t="s">
        <v>7</v>
      </c>
      <c r="C7" s="15" t="str">
        <f>NM!C3</f>
        <v>Marketing Digital</v>
      </c>
      <c r="D7" s="13"/>
      <c r="E7" s="13"/>
      <c r="F7" s="13"/>
      <c r="G7" s="14"/>
    </row>
    <row r="8" spans="2:11" x14ac:dyDescent="0.3">
      <c r="B8" s="1"/>
      <c r="D8" s="3"/>
      <c r="E8" s="3" t="s">
        <v>10</v>
      </c>
      <c r="F8" s="18" t="s">
        <v>11</v>
      </c>
      <c r="G8" s="2"/>
    </row>
    <row r="9" spans="2:11" x14ac:dyDescent="0.3">
      <c r="B9" s="23" t="s">
        <v>8</v>
      </c>
      <c r="C9" s="17">
        <f>NM!D3</f>
        <v>25361</v>
      </c>
      <c r="F9" s="22" t="s">
        <v>2</v>
      </c>
      <c r="G9" s="19">
        <f>NM!E3</f>
        <v>0</v>
      </c>
    </row>
    <row r="10" spans="2:11" x14ac:dyDescent="0.3">
      <c r="B10" s="1"/>
      <c r="F10" s="22" t="s">
        <v>3</v>
      </c>
      <c r="G10" s="19">
        <f>NM!F3</f>
        <v>262</v>
      </c>
    </row>
    <row r="11" spans="2:11" x14ac:dyDescent="0.3">
      <c r="B11" s="1"/>
      <c r="F11" s="22" t="s">
        <v>4</v>
      </c>
      <c r="G11" s="19">
        <f>NM!G3</f>
        <v>479</v>
      </c>
    </row>
    <row r="12" spans="2:11" x14ac:dyDescent="0.3">
      <c r="B12" s="1"/>
      <c r="G12" s="20"/>
    </row>
    <row r="13" spans="2:11" x14ac:dyDescent="0.3">
      <c r="B13" s="1"/>
      <c r="F13" s="26" t="s">
        <v>13</v>
      </c>
      <c r="G13" s="27">
        <f>SUM(G9:G11)</f>
        <v>741</v>
      </c>
    </row>
    <row r="14" spans="2:11" ht="16.8" customHeight="1" x14ac:dyDescent="0.3">
      <c r="B14" s="1"/>
      <c r="F14" s="28" t="s">
        <v>12</v>
      </c>
      <c r="G14" s="29">
        <f>+C9-G13</f>
        <v>24620</v>
      </c>
    </row>
    <row r="15" spans="2:11" ht="15" customHeight="1" thickBot="1" x14ac:dyDescent="0.35">
      <c r="B15" s="4"/>
      <c r="C15" s="5"/>
      <c r="D15" s="5"/>
      <c r="E15" s="5"/>
      <c r="F15" s="5"/>
      <c r="G15" s="6"/>
    </row>
    <row r="21" spans="2:8" x14ac:dyDescent="0.3">
      <c r="C21" s="25"/>
    </row>
    <row r="23" spans="2:8" x14ac:dyDescent="0.3">
      <c r="B23" t="s">
        <v>31</v>
      </c>
    </row>
    <row r="24" spans="2:8" ht="14.4" customHeight="1" x14ac:dyDescent="0.3">
      <c r="C24" s="24"/>
      <c r="D24" s="24"/>
      <c r="E24" s="24"/>
      <c r="F24" s="24"/>
      <c r="G24" s="24"/>
      <c r="H24" s="24"/>
    </row>
    <row r="25" spans="2:8" ht="15" customHeight="1" x14ac:dyDescent="0.3">
      <c r="C25" s="24"/>
      <c r="D25" s="24"/>
      <c r="E25" s="24"/>
      <c r="F25" s="24"/>
      <c r="G25" s="24"/>
      <c r="H25" s="24"/>
    </row>
  </sheetData>
  <mergeCells count="3">
    <mergeCell ref="B2:G3"/>
    <mergeCell ref="B5:G5"/>
    <mergeCell ref="C4:D4"/>
  </mergeCells>
  <pageMargins left="0.7" right="0.7" top="0.75" bottom="0.75" header="0.3" footer="0.3"/>
  <pageSetup paperSize="9" scale="59" orientation="portrait" cellComments="atEnd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23B174D-526D-434E-B2CD-BFDC43472E3C}">
          <x14:formula1>
            <xm:f>'DB Empleados'!$A$3:$A$50</xm:f>
          </x14:formula1>
          <xm:sqref>E6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65E92-A1AA-417F-AFC9-FAE88F59972C}">
  <sheetPr codeName="Hoja2"/>
  <dimension ref="A1:L21"/>
  <sheetViews>
    <sheetView tabSelected="1" workbookViewId="0">
      <selection activeCell="H14" sqref="H14"/>
    </sheetView>
  </sheetViews>
  <sheetFormatPr baseColWidth="10" defaultRowHeight="14.4" x14ac:dyDescent="0.3"/>
  <cols>
    <col min="1" max="1" width="23.33203125" bestFit="1" customWidth="1"/>
    <col min="2" max="2" width="23.33203125" customWidth="1"/>
    <col min="3" max="3" width="21.5546875" bestFit="1" customWidth="1"/>
    <col min="4" max="4" width="18" style="10" bestFit="1" customWidth="1"/>
    <col min="5" max="5" width="16.21875" bestFit="1" customWidth="1"/>
    <col min="6" max="6" width="13.77734375" bestFit="1" customWidth="1"/>
    <col min="7" max="7" width="18" bestFit="1" customWidth="1"/>
    <col min="8" max="8" width="21.5546875" customWidth="1"/>
    <col min="9" max="9" width="23.33203125" bestFit="1" customWidth="1"/>
    <col min="10" max="10" width="29.44140625" customWidth="1"/>
    <col min="13" max="13" width="19.5546875" bestFit="1" customWidth="1"/>
  </cols>
  <sheetData>
    <row r="1" spans="1:8" ht="18" x14ac:dyDescent="0.3">
      <c r="A1" s="44"/>
      <c r="B1" s="44"/>
      <c r="C1" s="44"/>
      <c r="D1" s="44"/>
      <c r="E1" s="44"/>
      <c r="F1" s="44"/>
      <c r="G1" s="44"/>
    </row>
    <row r="2" spans="1:8" x14ac:dyDescent="0.3">
      <c r="A2" s="7" t="s">
        <v>14</v>
      </c>
      <c r="B2" s="7" t="s">
        <v>46</v>
      </c>
      <c r="C2" s="7" t="s">
        <v>0</v>
      </c>
      <c r="D2" s="11" t="s">
        <v>1</v>
      </c>
      <c r="E2" s="7" t="s">
        <v>2</v>
      </c>
      <c r="F2" s="7" t="s">
        <v>3</v>
      </c>
      <c r="G2" s="7" t="s">
        <v>4</v>
      </c>
      <c r="H2" s="7" t="s">
        <v>48</v>
      </c>
    </row>
    <row r="3" spans="1:8" x14ac:dyDescent="0.3">
      <c r="A3" s="8" t="s">
        <v>29</v>
      </c>
      <c r="B3" s="8" t="s">
        <v>33</v>
      </c>
      <c r="C3" s="8" t="s">
        <v>16</v>
      </c>
      <c r="D3" s="31">
        <v>25404</v>
      </c>
      <c r="E3" s="32">
        <v>150</v>
      </c>
      <c r="F3" s="32">
        <v>251</v>
      </c>
      <c r="G3" s="32">
        <v>456</v>
      </c>
      <c r="H3" s="46" t="s">
        <v>50</v>
      </c>
    </row>
    <row r="4" spans="1:8" x14ac:dyDescent="0.3">
      <c r="A4" s="8" t="s">
        <v>28</v>
      </c>
      <c r="B4" s="8" t="s">
        <v>34</v>
      </c>
      <c r="C4" s="8" t="s">
        <v>24</v>
      </c>
      <c r="D4" s="31">
        <v>25686</v>
      </c>
      <c r="E4" s="32">
        <v>160</v>
      </c>
      <c r="F4" s="32"/>
      <c r="G4" s="32">
        <v>462</v>
      </c>
      <c r="H4" s="46" t="s">
        <v>49</v>
      </c>
    </row>
    <row r="5" spans="1:8" x14ac:dyDescent="0.3">
      <c r="A5" s="8" t="s">
        <v>19</v>
      </c>
      <c r="B5" s="8" t="s">
        <v>35</v>
      </c>
      <c r="C5" s="8" t="s">
        <v>18</v>
      </c>
      <c r="D5" s="31">
        <v>25361</v>
      </c>
      <c r="E5" s="32"/>
      <c r="F5" s="32">
        <v>262</v>
      </c>
      <c r="G5" s="32">
        <v>479</v>
      </c>
      <c r="H5" s="46" t="s">
        <v>51</v>
      </c>
    </row>
    <row r="6" spans="1:8" x14ac:dyDescent="0.3">
      <c r="A6" s="8" t="s">
        <v>22</v>
      </c>
      <c r="B6" s="8" t="s">
        <v>36</v>
      </c>
      <c r="C6" s="8" t="s">
        <v>16</v>
      </c>
      <c r="D6" s="31">
        <v>24429</v>
      </c>
      <c r="E6" s="32">
        <v>159</v>
      </c>
      <c r="F6" s="32">
        <v>268</v>
      </c>
      <c r="G6" s="32"/>
      <c r="H6" s="46" t="s">
        <v>52</v>
      </c>
    </row>
    <row r="7" spans="1:8" x14ac:dyDescent="0.3">
      <c r="A7" s="8" t="s">
        <v>20</v>
      </c>
      <c r="B7" s="8" t="s">
        <v>37</v>
      </c>
      <c r="C7" s="8" t="s">
        <v>16</v>
      </c>
      <c r="D7" s="31">
        <v>23890</v>
      </c>
      <c r="E7" s="32">
        <v>151</v>
      </c>
      <c r="F7" s="32">
        <v>262</v>
      </c>
      <c r="G7" s="32">
        <v>415</v>
      </c>
      <c r="H7" s="46" t="s">
        <v>53</v>
      </c>
    </row>
    <row r="8" spans="1:8" x14ac:dyDescent="0.3">
      <c r="A8" s="8" t="s">
        <v>23</v>
      </c>
      <c r="B8" s="8" t="s">
        <v>38</v>
      </c>
      <c r="C8" s="8" t="s">
        <v>24</v>
      </c>
      <c r="D8" s="31">
        <v>25687</v>
      </c>
      <c r="E8" s="32">
        <v>150</v>
      </c>
      <c r="F8" s="32">
        <v>268</v>
      </c>
      <c r="G8" s="32">
        <v>477</v>
      </c>
      <c r="H8" s="46" t="s">
        <v>54</v>
      </c>
    </row>
    <row r="9" spans="1:8" x14ac:dyDescent="0.3">
      <c r="A9" s="8" t="s">
        <v>26</v>
      </c>
      <c r="B9" s="8" t="s">
        <v>39</v>
      </c>
      <c r="C9" s="8" t="s">
        <v>21</v>
      </c>
      <c r="D9" s="31">
        <v>25938</v>
      </c>
      <c r="E9" s="32">
        <v>153</v>
      </c>
      <c r="F9" s="32"/>
      <c r="G9" s="32">
        <v>404</v>
      </c>
      <c r="H9" s="46" t="s">
        <v>55</v>
      </c>
    </row>
    <row r="10" spans="1:8" x14ac:dyDescent="0.3">
      <c r="A10" s="8" t="s">
        <v>17</v>
      </c>
      <c r="B10" s="8" t="s">
        <v>40</v>
      </c>
      <c r="C10" s="8" t="s">
        <v>18</v>
      </c>
      <c r="D10" s="31">
        <v>24648</v>
      </c>
      <c r="E10" s="32"/>
      <c r="F10" s="32">
        <v>254</v>
      </c>
      <c r="G10" s="32">
        <v>401</v>
      </c>
      <c r="H10" s="46" t="s">
        <v>56</v>
      </c>
    </row>
    <row r="11" spans="1:8" x14ac:dyDescent="0.3">
      <c r="A11" s="8" t="s">
        <v>25</v>
      </c>
      <c r="B11" s="8" t="s">
        <v>41</v>
      </c>
      <c r="C11" s="8" t="s">
        <v>18</v>
      </c>
      <c r="D11" s="31">
        <v>25603</v>
      </c>
      <c r="E11" s="32">
        <v>155</v>
      </c>
      <c r="F11" s="32">
        <v>259</v>
      </c>
      <c r="G11" s="32"/>
      <c r="H11" s="46" t="s">
        <v>57</v>
      </c>
    </row>
    <row r="12" spans="1:8" x14ac:dyDescent="0.3">
      <c r="A12" s="8" t="s">
        <v>15</v>
      </c>
      <c r="B12" s="8" t="s">
        <v>42</v>
      </c>
      <c r="C12" s="8" t="s">
        <v>16</v>
      </c>
      <c r="D12" s="31">
        <v>26000</v>
      </c>
      <c r="E12" s="32"/>
      <c r="F12" s="32">
        <v>263</v>
      </c>
      <c r="G12" s="32">
        <v>480</v>
      </c>
      <c r="H12" s="46" t="s">
        <v>58</v>
      </c>
    </row>
    <row r="13" spans="1:8" x14ac:dyDescent="0.3">
      <c r="A13" s="8" t="s">
        <v>30</v>
      </c>
      <c r="B13" s="8" t="s">
        <v>43</v>
      </c>
      <c r="C13" s="8" t="s">
        <v>16</v>
      </c>
      <c r="D13" s="31">
        <v>20986</v>
      </c>
      <c r="E13" s="32">
        <v>152</v>
      </c>
      <c r="F13" s="32">
        <v>259</v>
      </c>
      <c r="G13" s="32">
        <v>496</v>
      </c>
      <c r="H13" s="46" t="s">
        <v>59</v>
      </c>
    </row>
    <row r="14" spans="1:8" x14ac:dyDescent="0.3">
      <c r="A14" s="8" t="s">
        <v>27</v>
      </c>
      <c r="B14" s="8" t="s">
        <v>44</v>
      </c>
      <c r="C14" s="8" t="s">
        <v>18</v>
      </c>
      <c r="D14" s="31">
        <v>23371</v>
      </c>
      <c r="E14" s="32">
        <v>153</v>
      </c>
      <c r="F14" s="32">
        <v>269</v>
      </c>
      <c r="G14" s="32"/>
      <c r="H14" s="32"/>
    </row>
    <row r="15" spans="1:8" x14ac:dyDescent="0.3">
      <c r="A15" s="8"/>
      <c r="B15" s="8"/>
      <c r="C15" s="8"/>
      <c r="D15" s="31"/>
      <c r="E15" s="32"/>
      <c r="F15" s="32"/>
      <c r="G15" s="32"/>
      <c r="H15" s="32"/>
    </row>
    <row r="16" spans="1:8" x14ac:dyDescent="0.3">
      <c r="C16" s="8"/>
      <c r="D16" s="31"/>
      <c r="E16" s="32"/>
      <c r="F16" s="32"/>
      <c r="G16" s="32"/>
      <c r="H16" s="32"/>
    </row>
    <row r="17" spans="5:12" x14ac:dyDescent="0.3">
      <c r="E17" s="12"/>
    </row>
    <row r="18" spans="5:12" x14ac:dyDescent="0.3">
      <c r="E18" s="12"/>
    </row>
    <row r="19" spans="5:12" x14ac:dyDescent="0.3">
      <c r="E19" s="12"/>
    </row>
    <row r="20" spans="5:12" x14ac:dyDescent="0.3">
      <c r="E20" s="12"/>
      <c r="L20" s="30"/>
    </row>
    <row r="21" spans="5:12" x14ac:dyDescent="0.3">
      <c r="E21" s="12"/>
    </row>
  </sheetData>
  <mergeCells count="1">
    <mergeCell ref="A1:G1"/>
  </mergeCells>
  <phoneticPr fontId="5" type="noConversion"/>
  <dataValidations count="3">
    <dataValidation type="list" allowBlank="1" showInputMessage="1" showErrorMessage="1" sqref="K6" xr:uid="{B3BD93D3-19EC-4091-98F3-D7499C5EFFF5}">
      <formula1>$A$3:$A$40</formula1>
    </dataValidation>
    <dataValidation type="list" allowBlank="1" showInputMessage="1" showErrorMessage="1" sqref="K13" xr:uid="{BAEA018E-F0B7-4C12-85DC-C3D1B02EE5F5}">
      <formula1>$A$3:$A$14</formula1>
    </dataValidation>
    <dataValidation type="list" allowBlank="1" showInputMessage="1" showErrorMessage="1" sqref="K20" xr:uid="{21202670-52B8-4628-BAA3-23DE383A8269}">
      <formula1>#REF!</formula1>
    </dataValidation>
  </dataValidations>
  <hyperlinks>
    <hyperlink ref="H4" r:id="rId1" xr:uid="{95072F71-F476-46EF-B5D3-57EC296C79AA}"/>
    <hyperlink ref="H3" r:id="rId2" xr:uid="{39EB4905-CE64-4C7B-A066-1799BC5AD2A9}"/>
    <hyperlink ref="H5" r:id="rId3" xr:uid="{417490B1-94DC-4660-AD73-1B622189B420}"/>
    <hyperlink ref="H6" r:id="rId4" xr:uid="{4FE61538-9A53-43E2-A6A3-E5425C105B57}"/>
    <hyperlink ref="H7" r:id="rId5" xr:uid="{0EA1B776-4977-4235-9DF7-EECBFE8A4769}"/>
    <hyperlink ref="H8" r:id="rId6" xr:uid="{B35709AD-2C47-43B0-9BF3-14DAE56239E8}"/>
    <hyperlink ref="H9" r:id="rId7" xr:uid="{D380CC26-957D-45E5-9FE4-B808006AD042}"/>
    <hyperlink ref="H10" r:id="rId8" xr:uid="{D587BFBE-BB6A-437B-B39D-2A2893F135D4}"/>
    <hyperlink ref="H11" r:id="rId9" xr:uid="{DF0321EA-D740-4CA8-B03E-A6BF4A06EB13}"/>
    <hyperlink ref="H12" r:id="rId10" xr:uid="{AC6C5597-C385-47C1-9081-70490FEB9E98}"/>
    <hyperlink ref="H13" r:id="rId11" xr:uid="{63CAE209-B532-4233-A8A7-703E760B8F7B}"/>
  </hyperlinks>
  <pageMargins left="0.7" right="0.7" top="0.75" bottom="0.75" header="0.3" footer="0.3"/>
  <tableParts count="1">
    <tablePart r:id="rId1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CDF052-4989-4271-8285-6206EBD6E0BE}">
  <sheetPr codeName="Hoja3"/>
  <dimension ref="A1:G5"/>
  <sheetViews>
    <sheetView workbookViewId="0">
      <selection activeCell="C8" sqref="C8"/>
    </sheetView>
  </sheetViews>
  <sheetFormatPr baseColWidth="10" defaultRowHeight="14.4" x14ac:dyDescent="0.3"/>
  <cols>
    <col min="1" max="1" width="19.88671875" bestFit="1" customWidth="1"/>
    <col min="2" max="2" width="17.109375" bestFit="1" customWidth="1"/>
    <col min="3" max="3" width="21.5546875" bestFit="1" customWidth="1"/>
    <col min="4" max="6" width="19.5546875" bestFit="1" customWidth="1"/>
    <col min="7" max="7" width="10.5546875" customWidth="1"/>
  </cols>
  <sheetData>
    <row r="1" spans="1:7" ht="18" x14ac:dyDescent="0.3">
      <c r="A1" s="44"/>
      <c r="B1" s="44"/>
      <c r="C1" s="44"/>
      <c r="D1" s="44"/>
      <c r="E1" s="44"/>
      <c r="F1" s="44"/>
      <c r="G1" s="44"/>
    </row>
    <row r="2" spans="1:7" x14ac:dyDescent="0.3">
      <c r="A2" s="7" t="s">
        <v>14</v>
      </c>
      <c r="B2" s="7" t="s">
        <v>46</v>
      </c>
      <c r="C2" s="7" t="s">
        <v>0</v>
      </c>
      <c r="D2" s="11" t="s">
        <v>1</v>
      </c>
      <c r="E2" s="7" t="s">
        <v>2</v>
      </c>
      <c r="F2" s="7" t="s">
        <v>3</v>
      </c>
      <c r="G2" s="7" t="s">
        <v>4</v>
      </c>
    </row>
    <row r="3" spans="1:7" x14ac:dyDescent="0.3">
      <c r="A3" t="str">
        <f>IFERROR(VLOOKUP(Boleta!$E$6,'DB Empleados'!$A$3:$G$50,1,FALSE),"")</f>
        <v>Daniel Eduardo Aguilera</v>
      </c>
      <c r="B3" t="str">
        <f>IFERROR(VLOOKUP(Boleta!$E$6,'DB Empleados'!$A$3:$G$50,2,FALSE),"")</f>
        <v>CNI003</v>
      </c>
      <c r="C3" t="str">
        <f>IFERROR(VLOOKUP(Boleta!$E$6,'DB Empleados'!$A$3:$G$50,3,FALSE),"")</f>
        <v>Marketing Digital</v>
      </c>
      <c r="D3" s="30">
        <f>IFERROR(VLOOKUP(Boleta!$E$6,'DB Empleados'!$A$3:$G$50,4,FALSE),"")</f>
        <v>25361</v>
      </c>
      <c r="E3" s="30">
        <f>IFERROR(VLOOKUP(Boleta!$E$6,'DB Empleados'!$A$3:$G$50,5,FALSE),"")</f>
        <v>0</v>
      </c>
      <c r="F3" s="30">
        <f>IFERROR(VLOOKUP(Boleta!$E$6,'DB Empleados'!$A$3:$G$50,6,FALSE),"")</f>
        <v>262</v>
      </c>
      <c r="G3" s="30">
        <f>IFERROR(VLOOKUP(Boleta!$E$6,'DB Empleados'!$A$3:$G$50,7,FALSE),"")</f>
        <v>479</v>
      </c>
    </row>
    <row r="5" spans="1:7" x14ac:dyDescent="0.3">
      <c r="A5" s="45" t="s">
        <v>47</v>
      </c>
      <c r="B5" s="45"/>
      <c r="C5" s="45"/>
      <c r="D5" s="45"/>
      <c r="E5" s="45"/>
      <c r="F5" s="45"/>
      <c r="G5" s="45"/>
    </row>
  </sheetData>
  <mergeCells count="2">
    <mergeCell ref="A1:G1"/>
    <mergeCell ref="A5:G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Boleta</vt:lpstr>
      <vt:lpstr>DB Empleados</vt:lpstr>
      <vt:lpstr>NM</vt:lpstr>
      <vt:lpstr>Boleta!Área_de_impresión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Nestor  Erazo</dc:creator>
  <cp:lastModifiedBy>Luis Andrés  Martínez</cp:lastModifiedBy>
  <cp:lastPrinted>2025-05-08T17:40:54Z</cp:lastPrinted>
  <dcterms:created xsi:type="dcterms:W3CDTF">2025-05-06T14:59:08Z</dcterms:created>
  <dcterms:modified xsi:type="dcterms:W3CDTF">2026-02-11T20:43:52Z</dcterms:modified>
</cp:coreProperties>
</file>